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880" windowHeight="12580"/>
  </bookViews>
  <sheets>
    <sheet name="methods_category_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<sst xmlns="http://schemas.openxmlformats.org/spreadsheetml/2006/main" count="154" uniqueCount="34">
  <si>
    <t>method_mapped</t>
  </si>
  <si>
    <t>category_baseline</t>
  </si>
  <si>
    <t>category_5year</t>
  </si>
  <si>
    <t>category_7year</t>
  </si>
  <si>
    <t>category_12year</t>
  </si>
  <si>
    <t>category_15year</t>
  </si>
  <si>
    <t>theoretical studies</t>
  </si>
  <si>
    <t>Mainstream</t>
  </si>
  <si>
    <t>bibliometrics</t>
  </si>
  <si>
    <t>machine learning</t>
  </si>
  <si>
    <t>Emerging</t>
  </si>
  <si>
    <t>questionnaire</t>
  </si>
  <si>
    <t>statistical analysis</t>
  </si>
  <si>
    <t>network analysis</t>
  </si>
  <si>
    <t>transaction log analysis</t>
  </si>
  <si>
    <t>Declining</t>
  </si>
  <si>
    <t>interview</t>
  </si>
  <si>
    <t>content analysis</t>
  </si>
  <si>
    <t>text mining</t>
  </si>
  <si>
    <t>structural equation modeling</t>
  </si>
  <si>
    <t>Marginalized</t>
  </si>
  <si>
    <t>patent analysis</t>
  </si>
  <si>
    <t>experiment</t>
  </si>
  <si>
    <t>spatio-temporal method</t>
  </si>
  <si>
    <t>case study</t>
  </si>
  <si>
    <t>agent-based simulation and modeling</t>
  </si>
  <si>
    <t>qualitative comparative analysis</t>
  </si>
  <si>
    <t>large language model</t>
  </si>
  <si>
    <t>ethnography/field study</t>
  </si>
  <si>
    <t>focus group</t>
  </si>
  <si>
    <t>grounded theory</t>
  </si>
  <si>
    <t>observation</t>
  </si>
  <si>
    <t>meta analysis</t>
  </si>
  <si>
    <t>delphi study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</si>
</sst>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zoomScaleSheetLayoutView="60" workbookViewId="0">
      <selection activeCell="L14" sqref="L14"/>
    </sheetView>
  </sheetViews>
  <sheetFormatPr defaultColWidth="10.3846153846154" defaultRowHeight="16.8"/>
  <cols>
    <col min="3" max="3" width="14.7403846153846" customWidth="1"/>
    <col min="4" max="4" width="14.9038461538462" customWidth="1"/>
    <col min="5" max="5" width="15.0576923076923" customWidth="1"/>
    <col min="6" max="6" width="13.942307692307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</v>
      </c>
      <c r="H1" t="s">
        <v>3</v>
      </c>
      <c r="I1" t="s">
        <v>4</v>
      </c>
      <c r="J1" t="s">
        <v>5</v>
      </c>
    </row>
    <row r="2" spans="1:10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>
        <f>IF(C2=$B2,1,0)</f>
        <v>1</v>
      </c>
      <c r="H2">
        <f>IF(D2=$B2,1,0)</f>
        <v>1</v>
      </c>
      <c r="I2">
        <f>IF(E2=$B2,1,0)</f>
        <v>1</v>
      </c>
      <c r="J2">
        <f>IF(F2=$B2,1,0)</f>
        <v>1</v>
      </c>
    </row>
    <row r="3" spans="1:10">
      <c r="A3" t="s">
        <v>8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>
        <f t="shared" ref="G3:G25" si="0">IF(C3=$B3,1,0)</f>
        <v>1</v>
      </c>
      <c r="H3">
        <f>IF(D3=$B3,1,0)</f>
        <v>1</v>
      </c>
      <c r="I3">
        <f>IF(E3=$B3,1,0)</f>
        <v>1</v>
      </c>
      <c r="J3">
        <f>IF(F3=$B3,1,0)</f>
        <v>1</v>
      </c>
    </row>
    <row r="4" spans="1:10">
      <c r="A4" t="s">
        <v>9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>
        <f t="shared" si="0"/>
        <v>1</v>
      </c>
      <c r="H4">
        <f>IF(D4=$B4,1,0)</f>
        <v>1</v>
      </c>
      <c r="I4">
        <f>IF(E4=$B4,1,0)</f>
        <v>1</v>
      </c>
      <c r="J4">
        <f>IF(F4=$B4,1,0)</f>
        <v>1</v>
      </c>
    </row>
    <row r="5" spans="1:10">
      <c r="A5" t="s">
        <v>11</v>
      </c>
      <c r="B5" t="s">
        <v>7</v>
      </c>
      <c r="C5" t="s">
        <v>7</v>
      </c>
      <c r="D5" t="s">
        <v>7</v>
      </c>
      <c r="E5" t="s">
        <v>7</v>
      </c>
      <c r="F5" t="s">
        <v>7</v>
      </c>
      <c r="G5">
        <f t="shared" si="0"/>
        <v>1</v>
      </c>
      <c r="H5">
        <f>IF(D5=$B5,1,0)</f>
        <v>1</v>
      </c>
      <c r="I5">
        <f>IF(E5=$B5,1,0)</f>
        <v>1</v>
      </c>
      <c r="J5">
        <f>IF(F5=$B5,1,0)</f>
        <v>1</v>
      </c>
    </row>
    <row r="6" spans="1:10">
      <c r="A6" t="s">
        <v>12</v>
      </c>
      <c r="B6" t="s">
        <v>7</v>
      </c>
      <c r="C6" t="s">
        <v>7</v>
      </c>
      <c r="D6" t="s">
        <v>7</v>
      </c>
      <c r="E6" t="s">
        <v>7</v>
      </c>
      <c r="F6" t="s">
        <v>7</v>
      </c>
      <c r="G6">
        <f t="shared" si="0"/>
        <v>1</v>
      </c>
      <c r="H6">
        <f>IF(D6=$B6,1,0)</f>
        <v>1</v>
      </c>
      <c r="I6">
        <f>IF(E6=$B6,1,0)</f>
        <v>1</v>
      </c>
      <c r="J6">
        <f>IF(F6=$B6,1,0)</f>
        <v>1</v>
      </c>
    </row>
    <row r="7" spans="1:10">
      <c r="A7" t="s">
        <v>13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  <c r="G7">
        <f t="shared" si="0"/>
        <v>1</v>
      </c>
      <c r="H7">
        <f>IF(D7=$B7,1,0)</f>
        <v>1</v>
      </c>
      <c r="I7">
        <f>IF(E7=$B7,1,0)</f>
        <v>1</v>
      </c>
      <c r="J7">
        <f>IF(F7=$B7,1,0)</f>
        <v>1</v>
      </c>
    </row>
    <row r="8" spans="1:10">
      <c r="A8" t="s">
        <v>14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  <c r="G8">
        <f t="shared" si="0"/>
        <v>1</v>
      </c>
      <c r="H8">
        <f>IF(D8=$B8,1,0)</f>
        <v>1</v>
      </c>
      <c r="I8">
        <f>IF(E8=$B8,1,0)</f>
        <v>1</v>
      </c>
      <c r="J8">
        <f>IF(F8=$B8,1,0)</f>
        <v>1</v>
      </c>
    </row>
    <row r="9" spans="1:10">
      <c r="A9" t="s">
        <v>16</v>
      </c>
      <c r="B9" t="s">
        <v>7</v>
      </c>
      <c r="C9" t="s">
        <v>7</v>
      </c>
      <c r="D9" t="s">
        <v>7</v>
      </c>
      <c r="E9" t="s">
        <v>7</v>
      </c>
      <c r="F9" t="s">
        <v>7</v>
      </c>
      <c r="G9">
        <f t="shared" si="0"/>
        <v>1</v>
      </c>
      <c r="H9">
        <f>IF(D9=$B9,1,0)</f>
        <v>1</v>
      </c>
      <c r="I9">
        <f>IF(E9=$B9,1,0)</f>
        <v>1</v>
      </c>
      <c r="J9">
        <f>IF(F9=$B9,1,0)</f>
        <v>1</v>
      </c>
    </row>
    <row r="10" spans="1:10">
      <c r="A10" t="s">
        <v>17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  <c r="G10">
        <f t="shared" si="0"/>
        <v>1</v>
      </c>
      <c r="H10">
        <f>IF(D10=$B10,1,0)</f>
        <v>1</v>
      </c>
      <c r="I10">
        <f>IF(E10=$B10,1,0)</f>
        <v>1</v>
      </c>
      <c r="J10">
        <f>IF(F10=$B10,1,0)</f>
        <v>1</v>
      </c>
    </row>
    <row r="11" spans="1:10">
      <c r="A11" t="s">
        <v>18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>
        <f t="shared" si="0"/>
        <v>1</v>
      </c>
      <c r="H11">
        <f>IF(D11=$B11,1,0)</f>
        <v>1</v>
      </c>
      <c r="I11">
        <f>IF(E11=$B11,1,0)</f>
        <v>1</v>
      </c>
      <c r="J11">
        <f>IF(F11=$B11,1,0)</f>
        <v>1</v>
      </c>
    </row>
    <row r="12" spans="1:10">
      <c r="A12" t="s">
        <v>19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>
        <f t="shared" si="0"/>
        <v>1</v>
      </c>
      <c r="H12">
        <f>IF(D12=$B12,1,0)</f>
        <v>1</v>
      </c>
      <c r="I12">
        <f>IF(E12=$B12,1,0)</f>
        <v>1</v>
      </c>
      <c r="J12">
        <f>IF(F12=$B12,1,0)</f>
        <v>1</v>
      </c>
    </row>
    <row r="13" spans="1:10">
      <c r="A13" t="s">
        <v>21</v>
      </c>
      <c r="B13" t="s">
        <v>20</v>
      </c>
      <c r="C13" t="s">
        <v>10</v>
      </c>
      <c r="D13" t="s">
        <v>10</v>
      </c>
      <c r="E13" t="s">
        <v>20</v>
      </c>
      <c r="F13" t="s">
        <v>20</v>
      </c>
      <c r="G13">
        <f t="shared" si="0"/>
        <v>0</v>
      </c>
      <c r="H13">
        <f>IF(D13=$B13,1,0)</f>
        <v>0</v>
      </c>
      <c r="I13">
        <f>IF(E13=$B13,1,0)</f>
        <v>1</v>
      </c>
      <c r="J13">
        <f>IF(F13=$B13,1,0)</f>
        <v>1</v>
      </c>
    </row>
    <row r="14" spans="1:10">
      <c r="A14" t="s">
        <v>22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>
        <f t="shared" si="0"/>
        <v>1</v>
      </c>
      <c r="H14">
        <f>IF(D14=$B14,1,0)</f>
        <v>1</v>
      </c>
      <c r="I14">
        <f>IF(E14=$B14,1,0)</f>
        <v>1</v>
      </c>
      <c r="J14">
        <f>IF(F14=$B14,1,0)</f>
        <v>1</v>
      </c>
    </row>
    <row r="15" spans="1:10">
      <c r="A15" t="s">
        <v>23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>
        <f t="shared" si="0"/>
        <v>1</v>
      </c>
      <c r="H15">
        <f>IF(D15=$B15,1,0)</f>
        <v>1</v>
      </c>
      <c r="I15">
        <f>IF(E15=$B15,1,0)</f>
        <v>1</v>
      </c>
      <c r="J15">
        <f>IF(F15=$B15,1,0)</f>
        <v>1</v>
      </c>
    </row>
    <row r="16" spans="1:10">
      <c r="A16" t="s">
        <v>24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>
        <f t="shared" si="0"/>
        <v>1</v>
      </c>
      <c r="H16">
        <f>IF(D16=$B16,1,0)</f>
        <v>1</v>
      </c>
      <c r="I16">
        <f>IF(E16=$B16,1,0)</f>
        <v>1</v>
      </c>
      <c r="J16">
        <f>IF(F16=$B16,1,0)</f>
        <v>1</v>
      </c>
    </row>
    <row r="17" spans="1:10">
      <c r="A17" t="s">
        <v>25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>
        <f t="shared" si="0"/>
        <v>1</v>
      </c>
      <c r="H17">
        <f>IF(D17=$B17,1,0)</f>
        <v>1</v>
      </c>
      <c r="I17">
        <f>IF(E17=$B17,1,0)</f>
        <v>1</v>
      </c>
      <c r="J17">
        <f>IF(F17=$B17,1,0)</f>
        <v>1</v>
      </c>
    </row>
    <row r="18" spans="1:10">
      <c r="A18" t="s">
        <v>26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>
        <f t="shared" si="0"/>
        <v>1</v>
      </c>
      <c r="H18">
        <f>IF(D18=$B18,1,0)</f>
        <v>1</v>
      </c>
      <c r="I18">
        <f>IF(E18=$B18,1,0)</f>
        <v>1</v>
      </c>
      <c r="J18">
        <f>IF(F18=$B18,1,0)</f>
        <v>1</v>
      </c>
    </row>
    <row r="19" spans="1:10">
      <c r="A19" t="s">
        <v>27</v>
      </c>
      <c r="B19" t="s">
        <v>10</v>
      </c>
      <c r="C19" t="s">
        <v>10</v>
      </c>
      <c r="D19" t="s">
        <v>10</v>
      </c>
      <c r="E19" t="s">
        <v>10</v>
      </c>
      <c r="F19" t="s">
        <v>10</v>
      </c>
      <c r="G19">
        <f t="shared" si="0"/>
        <v>1</v>
      </c>
      <c r="H19">
        <f>IF(D19=$B19,1,0)</f>
        <v>1</v>
      </c>
      <c r="I19">
        <f>IF(E19=$B19,1,0)</f>
        <v>1</v>
      </c>
      <c r="J19">
        <f>IF(F19=$B19,1,0)</f>
        <v>1</v>
      </c>
    </row>
    <row r="20" spans="1:10">
      <c r="A20" t="s">
        <v>28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>
        <f t="shared" si="0"/>
        <v>1</v>
      </c>
      <c r="H20">
        <f>IF(D20=$B20,1,0)</f>
        <v>1</v>
      </c>
      <c r="I20">
        <f>IF(E20=$B20,1,0)</f>
        <v>1</v>
      </c>
      <c r="J20">
        <f>IF(F20=$B20,1,0)</f>
        <v>1</v>
      </c>
    </row>
    <row r="21" spans="1:10">
      <c r="A21" t="s">
        <v>29</v>
      </c>
      <c r="B21" t="s">
        <v>20</v>
      </c>
      <c r="C21" t="s">
        <v>10</v>
      </c>
      <c r="D21" t="s">
        <v>10</v>
      </c>
      <c r="E21" t="s">
        <v>10</v>
      </c>
      <c r="F21" t="s">
        <v>10</v>
      </c>
      <c r="G21">
        <f t="shared" si="0"/>
        <v>0</v>
      </c>
      <c r="H21">
        <f>IF(D21=$B21,1,0)</f>
        <v>0</v>
      </c>
      <c r="I21">
        <f>IF(E21=$B21,1,0)</f>
        <v>0</v>
      </c>
      <c r="J21">
        <f>IF(F21=$B21,1,0)</f>
        <v>0</v>
      </c>
    </row>
    <row r="22" spans="1:10">
      <c r="A22" t="s">
        <v>30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>
        <f t="shared" si="0"/>
        <v>1</v>
      </c>
      <c r="H22">
        <f>IF(D22=$B22,1,0)</f>
        <v>1</v>
      </c>
      <c r="I22">
        <f>IF(E22=$B22,1,0)</f>
        <v>1</v>
      </c>
      <c r="J22">
        <f>IF(F22=$B22,1,0)</f>
        <v>1</v>
      </c>
    </row>
    <row r="23" spans="1:10">
      <c r="A23" t="s">
        <v>31</v>
      </c>
      <c r="B23" t="s">
        <v>15</v>
      </c>
      <c r="C23" t="s">
        <v>15</v>
      </c>
      <c r="D23" t="s">
        <v>15</v>
      </c>
      <c r="E23" t="s">
        <v>15</v>
      </c>
      <c r="F23" t="s">
        <v>15</v>
      </c>
      <c r="G23">
        <f t="shared" si="0"/>
        <v>1</v>
      </c>
      <c r="H23">
        <f>IF(D23=$B23,1,0)</f>
        <v>1</v>
      </c>
      <c r="I23">
        <f>IF(E23=$B23,1,0)</f>
        <v>1</v>
      </c>
      <c r="J23">
        <f>IF(F23=$B23,1,0)</f>
        <v>1</v>
      </c>
    </row>
    <row r="24" spans="1:10">
      <c r="A24" t="s">
        <v>32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>
        <f t="shared" si="0"/>
        <v>1</v>
      </c>
      <c r="H24">
        <f>IF(D24=$B24,1,0)</f>
        <v>1</v>
      </c>
      <c r="I24">
        <f>IF(E24=$B24,1,0)</f>
        <v>1</v>
      </c>
      <c r="J24">
        <f>IF(F24=$B24,1,0)</f>
        <v>1</v>
      </c>
    </row>
    <row r="25" spans="1:10">
      <c r="A25" t="s">
        <v>33</v>
      </c>
      <c r="B25" t="s">
        <v>15</v>
      </c>
      <c r="C25" t="s">
        <v>15</v>
      </c>
      <c r="D25" t="s">
        <v>15</v>
      </c>
      <c r="E25" t="s">
        <v>15</v>
      </c>
      <c r="F25" t="s">
        <v>15</v>
      </c>
      <c r="G25">
        <f t="shared" si="0"/>
        <v>1</v>
      </c>
      <c r="H25">
        <f>IF(D25=$B25,1,0)</f>
        <v>1</v>
      </c>
      <c r="I25">
        <f>IF(E25=$B25,1,0)</f>
        <v>1</v>
      </c>
      <c r="J25">
        <f>IF(F25=$B25,1,0)</f>
        <v>1</v>
      </c>
    </row>
    <row r="26" spans="7:10">
      <c r="G26">
        <f>SUM(G2:G25)</f>
        <v>22</v>
      </c>
      <c r="H26">
        <f>SUM(H2:H25)</f>
        <v>22</v>
      </c>
      <c r="I26">
        <f>SUM(I2:I25)</f>
        <v>23</v>
      </c>
      <c r="J26">
        <f>SUM(J2:J25)</f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methods_category_comparison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rongrong Xiang</cp:lastModifiedBy>
  <dcterms:created xsi:type="dcterms:W3CDTF">2025-10-27T20:58:56Z</dcterms:created>
  <dcterms:modified xsi:type="dcterms:W3CDTF">2025-10-27T21:01:02Z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BE4BF264E7FBD30B0C6DFF68056254F6_43</vt:lpwstr>
  </property>
  <property fmtid="{D5CDD505-2E9C-101B-9397-08002B2CF9AE}" pid="3" name="KSOProductBuildVer">
    <vt:lpwstr>2052-12.1.21861.21861</vt:lpwstr>
  </property>
</Properties>
</file>